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Freid\source\repos\FreidFry\ExcelShopSync\ExcelShSy.Infrastcarture.Tests\Files\"/>
    </mc:Choice>
  </mc:AlternateContent>
  <xr:revisionPtr revIDLastSave="0" documentId="13_ncr:1_{895B1C1A-0231-468E-BCFB-BB41E3CC9131}" xr6:coauthVersionLast="36" xr6:coauthVersionMax="47" xr10:uidLastSave="{00000000-0000-0000-0000-000000000000}"/>
  <bookViews>
    <workbookView xWindow="0" yWindow="0" windowWidth="21570" windowHeight="8430" xr2:uid="{00000000-000D-0000-FFFF-FFFF00000000}"/>
  </bookViews>
  <sheets>
    <sheet name="Sheet1" sheetId="1" r:id="rId1"/>
    <sheet name="Sheet2" sheetId="25" r:id="rId2"/>
    <sheet name="Settings" sheetId="22" r:id="rId3"/>
  </sheets>
  <definedNames>
    <definedName name="_xlnm._FilterDatabase" localSheetId="0" hidden="1">Sheet1!$A$1:$A$6</definedName>
    <definedName name="Наличие_Товаров">Наличие[Наличие_Товаров]</definedName>
    <definedName name="Столбец_Артикула" comment="ОБЯЗАТЕЛЬНО БЕЗ ПОВТОРЕНИЙ. НЕЛЬЗЯ 2 ОДИНАКОВЫХ ВАРИАНТА">Settings!$A$10:$A$11</definedName>
    <definedName name="Столбец_Наличия" comment="ОБЯЗАТЕЛЬНО БЕЗ ПОВТОРЕНИЙ. НЕЛЬЗЯ 2 ОДИНАКОВЫХ ВАРИАНТА">Settings!$A$14:$A$15</definedName>
    <definedName name="Столбец_Цены" comment="ОБЯЗАТЕЛЬНО БЕЗ ПОВТОРЕНИЙ. НЕЛЬЗЯ 2 ОДИНАКОВЫХ ВАРИАНТА">Settings!$A$12:$A$13</definedName>
  </definedNames>
  <calcPr calcId="191029"/>
</workbook>
</file>

<file path=xl/calcChain.xml><?xml version="1.0" encoding="utf-8"?>
<calcChain xmlns="http://schemas.openxmlformats.org/spreadsheetml/2006/main">
  <c r="C6" i="1" l="1"/>
  <c r="B6" i="1"/>
  <c r="E6" i="1"/>
  <c r="F6" i="1"/>
  <c r="E5" i="1"/>
  <c r="E4" i="1"/>
  <c r="E2" i="1"/>
  <c r="E3" i="1"/>
  <c r="F5" i="1" l="1"/>
  <c r="F4" i="1"/>
  <c r="F3" i="1"/>
  <c r="F2" i="1"/>
  <c r="C5" i="1"/>
  <c r="C4" i="1"/>
  <c r="C3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2B54D3-21B6-4E6E-BE14-7DEF2C39D425}" keepAlive="1" name="Query - Table18" description="Connection to the 'Table18' query in the workbook." type="5" refreshedVersion="0" background="1">
    <dbPr connection="Provider=Microsoft.Mashup.OleDb.1;Data Source=$Workbook$;Location=Table18;Extended Properties=&quot;&quot;" command="SELECT * FROM [Table18]"/>
  </connection>
</connections>
</file>

<file path=xl/sharedStrings.xml><?xml version="1.0" encoding="utf-8"?>
<sst xmlns="http://schemas.openxmlformats.org/spreadsheetml/2006/main" count="51" uniqueCount="24">
  <si>
    <t>Артикул</t>
  </si>
  <si>
    <t>РРЦ грн</t>
  </si>
  <si>
    <t>Наличие</t>
  </si>
  <si>
    <t>В наличии</t>
  </si>
  <si>
    <t>Нет в наличии</t>
  </si>
  <si>
    <t>Под заказ</t>
  </si>
  <si>
    <t>Готов к отправке</t>
  </si>
  <si>
    <t>Артикул комплекта</t>
  </si>
  <si>
    <t>Ціна комплекта</t>
  </si>
  <si>
    <t>Наличие комплекта</t>
  </si>
  <si>
    <t>Наличие_Товаров</t>
  </si>
  <si>
    <t>Столбцы</t>
  </si>
  <si>
    <t>NormalPrice</t>
  </si>
  <si>
    <t>DoublePrice_2num</t>
  </si>
  <si>
    <t>DoublePrice_8num</t>
  </si>
  <si>
    <t>NegativePrice</t>
  </si>
  <si>
    <t>Formula5_000plus5_000</t>
  </si>
  <si>
    <t>Formula5_000mult2</t>
  </si>
  <si>
    <t>Formula20_000div2</t>
  </si>
  <si>
    <t>Formula10_000div3</t>
  </si>
  <si>
    <t>TestProduct_in_SECOND_LAYER</t>
  </si>
  <si>
    <t>TEST PRODUCT IN THREE LAYER AND SPACES</t>
  </si>
  <si>
    <t>Formula10_000mult0.3</t>
  </si>
  <si>
    <t>Formula_10_000multi3.33333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</si>
</sst>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0" xfId="2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horizontal="center"/>
    </xf>
    <xf numFmtId="0" fontId="5" fillId="0" borderId="0" xfId="3" applyAlignment="1">
      <alignment horizontal="left" vertical="center"/>
    </xf>
    <xf numFmtId="0" fontId="5" fillId="0" borderId="0" xfId="3"/>
    <xf numFmtId="0" fontId="2" fillId="0" borderId="6" xfId="0" applyFont="1" applyBorder="1"/>
    <xf numFmtId="0" fontId="2" fillId="0" borderId="0" xfId="0" applyFont="1"/>
    <xf numFmtId="0" fontId="0" fillId="0" borderId="0" xfId="0" applyNumberFormat="1" applyAlignment="1">
      <alignment horizontal="center" vertical="center"/>
    </xf>
    <xf numFmtId="0" fontId="6" fillId="0" borderId="0" xfId="0" applyFont="1"/>
  </cellXfs>
  <cellStyles count="4">
    <cellStyle name="Normal" xfId="0" builtinId="0"/>
    <cellStyle name="Normal 2" xfId="1" xr:uid="{00000000-0005-0000-0000-000031000000}"/>
    <cellStyle name="Normal 3" xfId="2" xr:uid="{00000000-0005-0000-0000-000030000000}"/>
    <cellStyle name="Normal 4" xfId="3" xr:uid="{00000000-0005-0000-0000-000033000000}"/>
  </cellStyles>
  <dxfs count="13">
    <dxf>
      <numFmt numFmtId="0" formatCode="General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>
          <bgColor rgb="FF00B0F0"/>
        </patternFill>
      </fill>
    </dxf>
    <dxf>
      <fill>
        <patternFill>
          <bgColor theme="8" tint="0.79998168889431442"/>
        </patternFill>
      </fill>
    </dxf>
  </dxfs>
  <tableStyles count="1" defaultTableStyle="TableStyleMedium2" defaultPivotStyle="PivotStyleLight16">
    <tableStyle name="Прайс" pivot="0" count="2" xr9:uid="{6C58F2CD-4722-4D5A-BAAA-84A280896383}">
      <tableStyleElement type="wholeTable" dxfId="12"/>
      <tableStyleElement type="headerRow" dxfId="11"/>
    </tableStyle>
  </tableStyles>
  <colors>
    <mruColors>
      <color rgb="FF00487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7D702B-B514-44D6-BCDA-3B8002F7FE47}" name="Дашок" displayName="Дашок" ref="A1:F6" headerRowDxfId="3">
  <autoFilter ref="A1:F6" xr:uid="{5223FFCF-4A5B-424C-9234-F8859BD87B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1393884-EFF5-4062-BA30-38B5926817FB}" name="Артикул" totalsRowLabel="Total"/>
    <tableColumn id="12" xr3:uid="{BF8E3037-FDE8-4C43-853F-5CF71122796C}" name="РРЦ грн" dataDxfId="2">
      <calculatedColumnFormula>#REF!</calculatedColumnFormula>
    </tableColumn>
    <tableColumn id="14" xr3:uid="{BD349FAE-E720-471C-BFA8-DA9301EF49E0}" name="Наличие" totalsRowFunction="count" dataDxfId="1"/>
    <tableColumn id="2" xr3:uid="{FB24D1D5-CF9A-4536-A286-2380726EBE92}" name="Артикул комплекта"/>
    <tableColumn id="3" xr3:uid="{FAA53159-2F7A-427D-9F8A-4409161F7E20}" name="Ціна комплекта" dataDxfId="0">
      <calculatedColumnFormula>5000*G2</calculatedColumnFormula>
    </tableColumn>
    <tableColumn id="4" xr3:uid="{E5BCB38A-F55F-4F00-A992-7AB2849B62AE}" name="Наличие комплекта"/>
  </tableColumns>
  <tableStyleInfo name="TableStyleLight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788041-008A-42B1-9710-460CE322ED47}" name="Столбцы" displayName="Столбцы" comment="Названия столбцов для корректной работы программы. Правила смотрите в инструкции. ОБЯЗАТЕЛЬНО БЕЗ ПОВТОРЕНИЙ. НЕЛЬЗЯ 2 ОДИНАКОВЫХ ВАРИАНТА" ref="A9:A15" headerRowDxfId="10" dataDxfId="9" totalsRowDxfId="8">
  <autoFilter ref="A9:A15" xr:uid="{F3788041-008A-42B1-9710-460CE322ED47}">
    <filterColumn colId="0" hiddenButton="1"/>
  </autoFilter>
  <tableColumns count="1">
    <tableColumn id="1" xr3:uid="{EFD4192F-B7CB-4EA4-9B34-7255853BC24C}" name="Столбцы" totalsRowFunction="count" dataDxfId="7"/>
  </tableColumns>
  <tableStyleInfo name="TableStyleMedium2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057D244-3EF0-4B9F-B41D-2C010BB49ACF}" name="Наличие" displayName="Наличие" comment="Необходим обязательно столбец &quot;наличие&quot; или &quot;наличие комплекта&quot; соответствуещему варианту из таблицы &quot;Столбцы&quot;" ref="A1:A5" totalsRowShown="0" headerRowDxfId="6" dataDxfId="5">
  <autoFilter ref="A1:A5" xr:uid="{7057D244-3EF0-4B9F-B41D-2C010BB49ACF}">
    <filterColumn colId="0" hiddenButton="1"/>
  </autoFilter>
  <tableColumns count="1">
    <tableColumn id="1" xr3:uid="{A920A43A-751A-4407-AF08-1940F80DC510}" name="Наличие_Товаров" dataDxfId="4"/>
  </tableColumns>
  <tableStyleInfo name="TableStyleMedium2" showFirstColumn="0" showLastColumn="0" showRowStripes="1" showColumn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A2" sqref="A2:F6"/>
    </sheetView>
  </sheetViews>
  <sheetFormatPr defaultColWidth="14.42578125" defaultRowHeight="15" customHeight="1"/>
  <cols>
    <col min="1" max="1" width="47.7109375" customWidth="1"/>
    <col min="2" max="2" width="31.42578125" customWidth="1"/>
    <col min="3" max="3" width="19.140625" customWidth="1"/>
    <col min="4" max="4" width="24.140625" bestFit="1" customWidth="1"/>
    <col min="5" max="5" width="21.85546875" customWidth="1"/>
    <col min="6" max="6" width="22" customWidth="1"/>
    <col min="7" max="7" width="33.140625" customWidth="1"/>
    <col min="8" max="8" width="11.5703125" bestFit="1" customWidth="1"/>
    <col min="9" max="9" width="14" hidden="1" customWidth="1"/>
    <col min="10" max="10" width="11.5703125" hidden="1" customWidth="1"/>
    <col min="11" max="11" width="10.28515625" hidden="1" customWidth="1"/>
    <col min="12" max="12" width="11.5703125" hidden="1" customWidth="1"/>
    <col min="13" max="13" width="10.28515625" bestFit="1" customWidth="1"/>
    <col min="14" max="14" width="11.5703125" bestFit="1" customWidth="1"/>
    <col min="15" max="15" width="14" bestFit="1" customWidth="1"/>
  </cols>
  <sheetData>
    <row r="1" spans="1:12" ht="33.75" customHeight="1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</row>
    <row r="2" spans="1:12" ht="15" customHeight="1">
      <c r="A2" s="9" t="s">
        <v>12</v>
      </c>
      <c r="B2" s="1">
        <v>10000</v>
      </c>
      <c r="C2" s="13" t="str">
        <f>$I$5</f>
        <v>В наличии</v>
      </c>
      <c r="D2" s="9" t="s">
        <v>16</v>
      </c>
      <c r="E2" s="1">
        <f>5000+G2</f>
        <v>10000</v>
      </c>
      <c r="F2" s="13" t="str">
        <f>$I$4</f>
        <v>Готов к отправке</v>
      </c>
      <c r="G2">
        <v>5000</v>
      </c>
      <c r="I2" s="10" t="s">
        <v>4</v>
      </c>
      <c r="J2" s="16" t="s">
        <v>3</v>
      </c>
      <c r="K2" s="2" t="s">
        <v>3</v>
      </c>
      <c r="L2" s="2" t="s">
        <v>3</v>
      </c>
    </row>
    <row r="3" spans="1:12" ht="15" customHeight="1">
      <c r="A3" s="9" t="s">
        <v>13</v>
      </c>
      <c r="B3" s="1">
        <v>10000.120000000001</v>
      </c>
      <c r="C3" s="13" t="str">
        <f>$I$5</f>
        <v>В наличии</v>
      </c>
      <c r="D3" s="9" t="s">
        <v>17</v>
      </c>
      <c r="E3" s="1">
        <f t="shared" ref="E3" si="0">5000*G3</f>
        <v>10000</v>
      </c>
      <c r="F3" s="13" t="str">
        <f>$I$4</f>
        <v>Готов к отправке</v>
      </c>
      <c r="G3">
        <v>2</v>
      </c>
      <c r="I3" s="11" t="s">
        <v>5</v>
      </c>
      <c r="J3" s="3" t="s">
        <v>3</v>
      </c>
      <c r="K3" s="3" t="s">
        <v>3</v>
      </c>
      <c r="L3" s="3" t="s">
        <v>3</v>
      </c>
    </row>
    <row r="4" spans="1:12" ht="15" customHeight="1">
      <c r="A4" s="9" t="s">
        <v>14</v>
      </c>
      <c r="B4" s="1">
        <v>10000.12345678</v>
      </c>
      <c r="C4" s="13" t="str">
        <f>$I$3</f>
        <v>Под заказ</v>
      </c>
      <c r="D4" s="9" t="s">
        <v>18</v>
      </c>
      <c r="E4" s="1">
        <f>20000/G4</f>
        <v>10000</v>
      </c>
      <c r="F4" s="13" t="str">
        <f>$I$2</f>
        <v>Нет в наличии</v>
      </c>
      <c r="G4">
        <v>2</v>
      </c>
      <c r="I4" s="11" t="s">
        <v>6</v>
      </c>
      <c r="J4" s="3" t="s">
        <v>3</v>
      </c>
      <c r="K4" s="3" t="s">
        <v>3</v>
      </c>
      <c r="L4" s="3" t="s">
        <v>3</v>
      </c>
    </row>
    <row r="5" spans="1:12" ht="15" customHeight="1">
      <c r="A5" s="9" t="s">
        <v>15</v>
      </c>
      <c r="B5" s="1">
        <v>-10000</v>
      </c>
      <c r="C5" s="13" t="str">
        <f>$I$3</f>
        <v>Под заказ</v>
      </c>
      <c r="D5" s="9" t="s">
        <v>19</v>
      </c>
      <c r="E5" s="1">
        <f>20000/G5</f>
        <v>6666.666666666667</v>
      </c>
      <c r="F5" s="13" t="str">
        <f>$I$2</f>
        <v>Нет в наличии</v>
      </c>
      <c r="G5">
        <v>3</v>
      </c>
      <c r="I5" s="12" t="s">
        <v>3</v>
      </c>
      <c r="J5" s="4" t="s">
        <v>3</v>
      </c>
      <c r="K5" s="4" t="s">
        <v>3</v>
      </c>
      <c r="L5" s="4" t="s">
        <v>3</v>
      </c>
    </row>
    <row r="6" spans="1:12" ht="15" customHeight="1">
      <c r="A6" s="19" t="s">
        <v>23</v>
      </c>
      <c r="B6" s="1">
        <f>10000*G7</f>
        <v>33333.300000000003</v>
      </c>
      <c r="C6" s="13" t="str">
        <f>$I$3</f>
        <v>Под заказ</v>
      </c>
      <c r="D6" s="17" t="s">
        <v>22</v>
      </c>
      <c r="E6" s="18">
        <f>10000*G6</f>
        <v>3000</v>
      </c>
      <c r="F6" s="13" t="str">
        <f>$I$2</f>
        <v>Нет в наличии</v>
      </c>
      <c r="G6">
        <v>0.3</v>
      </c>
    </row>
    <row r="7" spans="1:12" ht="15" customHeight="1">
      <c r="G7">
        <v>3.3333300000000001</v>
      </c>
    </row>
  </sheetData>
  <sortState ref="A1:C5">
    <sortCondition ref="B2:B5"/>
  </sortState>
  <dataConsolidate/>
  <dataValidations count="1">
    <dataValidation type="list" allowBlank="1" showInputMessage="1" showErrorMessage="1" sqref="I2:L5" xr:uid="{FEA02731-65F5-4680-A524-103E88A1CFEA}">
      <formula1>Наличие_Товаров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3C29-C9E5-44FE-A734-A016AEFDF45A}">
  <dimension ref="A1:C3"/>
  <sheetViews>
    <sheetView workbookViewId="0">
      <selection activeCell="B6" sqref="B6"/>
    </sheetView>
  </sheetViews>
  <sheetFormatPr defaultRowHeight="15"/>
  <cols>
    <col min="1" max="1" width="40.28515625" bestFit="1" customWidth="1"/>
    <col min="2" max="2" width="16.42578125" customWidth="1"/>
    <col min="3" max="3" width="20.85546875" customWidth="1"/>
  </cols>
  <sheetData>
    <row r="1" spans="1:3" ht="45" customHeight="1">
      <c r="A1" s="6" t="s">
        <v>0</v>
      </c>
      <c r="B1" s="7" t="s">
        <v>1</v>
      </c>
      <c r="C1" s="8" t="s">
        <v>2</v>
      </c>
    </row>
    <row r="2" spans="1:3">
      <c r="A2" s="14" t="s">
        <v>20</v>
      </c>
      <c r="B2" s="1">
        <v>10000</v>
      </c>
      <c r="C2" s="1" t="s">
        <v>3</v>
      </c>
    </row>
    <row r="3" spans="1:3">
      <c r="A3" s="15" t="s">
        <v>21</v>
      </c>
      <c r="B3" s="1">
        <v>10000</v>
      </c>
      <c r="C3" s="1" t="s">
        <v>3</v>
      </c>
    </row>
  </sheetData>
  <dataConsolidate function="var">
    <dataRefs count="1">
      <dataRef ref="A2:A5" sheet="Settings"/>
    </dataRefs>
  </dataConsolidate>
  <dataValidations count="1">
    <dataValidation type="list" allowBlank="1" showInputMessage="1" showErrorMessage="1" sqref="C2:C3" xr:uid="{801E4C06-80C7-45B3-B1B0-E9844D0C0BCE}">
      <formula1>Наличие_Товаров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69BD3-69FB-48DB-A5BF-4AD5CA7267F7}">
  <dimension ref="A1:A15"/>
  <sheetViews>
    <sheetView workbookViewId="0">
      <selection activeCell="A15" sqref="A15"/>
    </sheetView>
  </sheetViews>
  <sheetFormatPr defaultRowHeight="15"/>
  <cols>
    <col min="1" max="1" width="19.42578125" bestFit="1" customWidth="1"/>
  </cols>
  <sheetData>
    <row r="1" spans="1:1">
      <c r="A1" s="5" t="s">
        <v>10</v>
      </c>
    </row>
    <row r="2" spans="1:1">
      <c r="A2" s="1" t="s">
        <v>3</v>
      </c>
    </row>
    <row r="3" spans="1:1">
      <c r="A3" s="1" t="s">
        <v>4</v>
      </c>
    </row>
    <row r="4" spans="1:1">
      <c r="A4" s="1" t="s">
        <v>5</v>
      </c>
    </row>
    <row r="5" spans="1:1">
      <c r="A5" s="1" t="s">
        <v>6</v>
      </c>
    </row>
    <row r="6" spans="1:1">
      <c r="A6" s="1"/>
    </row>
    <row r="7" spans="1:1">
      <c r="A7" s="1"/>
    </row>
    <row r="8" spans="1:1">
      <c r="A8" s="1"/>
    </row>
    <row r="9" spans="1:1">
      <c r="A9" s="1" t="s">
        <v>11</v>
      </c>
    </row>
    <row r="10" spans="1:1">
      <c r="A10" s="1" t="s">
        <v>0</v>
      </c>
    </row>
    <row r="11" spans="1:1">
      <c r="A11" s="1" t="s">
        <v>7</v>
      </c>
    </row>
    <row r="12" spans="1:1">
      <c r="A12" s="1" t="s">
        <v>1</v>
      </c>
    </row>
    <row r="13" spans="1:1">
      <c r="A13" s="1" t="s">
        <v>8</v>
      </c>
    </row>
    <row r="14" spans="1:1">
      <c r="A14" s="1" t="s">
        <v>2</v>
      </c>
    </row>
    <row r="15" spans="1:1">
      <c r="A15" s="1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0AA858-32A2-489B-9898-DBCEB02BAC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Sheet2</vt:lpstr>
      <vt:lpstr>Settings</vt:lpstr>
      <vt:lpstr>Наличие_Товаров</vt:lpstr>
      <vt:lpstr>Столбец_Артикула</vt:lpstr>
      <vt:lpstr>Столбец_Наличия</vt:lpstr>
      <vt:lpstr>Столбец_Цены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Freid4</dc:creator>
  <cp:lastModifiedBy>Freid</cp:lastModifiedBy>
  <cp:lastPrinted>2025-06-07T19:05:25Z</cp:lastPrinted>
  <dcterms:created xsi:type="dcterms:W3CDTF">2025-02-17T13:03:00Z</dcterms:created>
  <dcterms:modified xsi:type="dcterms:W3CDTF">2025-11-18T23:04:34Z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CC209FFD52C1435F82792825E1B82C66_13</vt:lpwstr>
  </property>
  <property fmtid="{D5CDD505-2E9C-101B-9397-08002B2CF9AE}" pid="3" name="KSOProductBuildVer">
    <vt:lpwstr>1033-12.2.0.20795</vt:lpwstr>
  </property>
</Properties>
</file>