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eid\source\repos\FreidFry\ExcelShopSync\ExcelShSy.Infrastcarture.Tests\Files\"/>
    </mc:Choice>
  </mc:AlternateContent>
  <xr:revisionPtr revIDLastSave="0" documentId="13_ncr:1_{9D17182A-1146-4C65-BBD7-FFB13B278221}" xr6:coauthVersionLast="36" xr6:coauthVersionMax="36" xr10:uidLastSave="{00000000-0000-0000-0000-000000000000}"/>
  <bookViews>
    <workbookView xWindow="0" yWindow="0" windowWidth="21570" windowHeight="8430" activeTab="2" xr2:uid="{00000000-000D-0000-FFFF-FFFF00000000}"/>
  </bookViews>
  <sheets>
    <sheet name="FIRST PAGE" sheetId="9" r:id="rId1"/>
    <sheet name="SECOND PAGE" sheetId="16" r:id="rId2"/>
    <sheet name="THREE &quot;PAGE&quot;" sheetId="21" r:id="rId3"/>
  </sheets>
  <calcPr calcId="191029"/>
</workbook>
</file>

<file path=xl/calcChain.xml><?xml version="1.0" encoding="utf-8"?>
<calcChain xmlns="http://schemas.openxmlformats.org/spreadsheetml/2006/main">
  <c r="B9" i="9" l="1"/>
  <c r="B8" i="9"/>
  <c r="B7" i="9"/>
  <c r="B6" i="9"/>
</calcChain>
</file>

<file path=xl/sharedStrings.xml><?xml version="1.0" encoding="utf-8"?>
<sst xmlns="http://schemas.openxmlformats.org/spreadsheetml/2006/main" count="237" uniqueCount="98">
  <si>
    <t>ID</t>
  </si>
  <si>
    <t>OFFERID</t>
  </si>
  <si>
    <t>CID</t>
  </si>
  <si>
    <t>Категорія</t>
  </si>
  <si>
    <t>Артикул</t>
  </si>
  <si>
    <t>Назва</t>
  </si>
  <si>
    <t>Назва (укр)</t>
  </si>
  <si>
    <t>Серія</t>
  </si>
  <si>
    <t>Ціна</t>
  </si>
  <si>
    <t>Стара ціна</t>
  </si>
  <si>
    <t>Ціна промо</t>
  </si>
  <si>
    <t>Акція до</t>
  </si>
  <si>
    <t>Залишки</t>
  </si>
  <si>
    <t>Мінімальна кількість при замовленні</t>
  </si>
  <si>
    <t>Максимальна кількість при замовленні</t>
  </si>
  <si>
    <t>Виробник</t>
  </si>
  <si>
    <t>Наявність</t>
  </si>
  <si>
    <t>Статус</t>
  </si>
  <si>
    <t>Повний опис (UA/RU)</t>
  </si>
  <si>
    <t>Повний опис (UA)</t>
  </si>
  <si>
    <t>Зображення</t>
  </si>
  <si>
    <t>EAN;RU|26294</t>
  </si>
  <si>
    <t>EAN;UA|26294</t>
  </si>
  <si>
    <t>Гарантія|20769</t>
  </si>
  <si>
    <t>Доставка/Оплата;RU|2019</t>
  </si>
  <si>
    <t>Доставка/Оплата;UA|2019</t>
  </si>
  <si>
    <t>Кнопка передзамовлення|232597</t>
  </si>
  <si>
    <t>Термін доставки|252319</t>
  </si>
  <si>
    <t>Країна реєстрації бренду|87790</t>
  </si>
  <si>
    <t>Країна-виробник товару|98900</t>
  </si>
  <si>
    <t>В наявності</t>
  </si>
  <si>
    <t>Вага|99810</t>
  </si>
  <si>
    <t>Висота хвилі|99803</t>
  </si>
  <si>
    <t>Довжина|99747</t>
  </si>
  <si>
    <t>Колекція;RU|99768</t>
  </si>
  <si>
    <t>Колекція;UA|99768</t>
  </si>
  <si>
    <t>Матеріал каркаса|202242</t>
  </si>
  <si>
    <t>Матеріал покриття|202236</t>
  </si>
  <si>
    <t>Призначення|202230</t>
  </si>
  <si>
    <t>Властивості;RU|99789</t>
  </si>
  <si>
    <t>Властивості;UA|99789</t>
  </si>
  <si>
    <t>Тип|202224</t>
  </si>
  <si>
    <t>Товщина|99761</t>
  </si>
  <si>
    <t>Товщина покриття, мм|202248</t>
  </si>
  <si>
    <t>Колір|99740</t>
  </si>
  <si>
    <t>Ширина|99754</t>
  </si>
  <si>
    <t>DashOk-2.05x1-Fb-3-b</t>
  </si>
  <si>
    <t>DashOk-2.05x1-Sb-3-b</t>
  </si>
  <si>
    <t>DashOk-2.05x1.5-Sb-3-b</t>
  </si>
  <si>
    <t>DashOk-2.05x1.5-Sb-6-p</t>
  </si>
  <si>
    <t>DashOk-2.05x1.5-Hb-4-b</t>
  </si>
  <si>
    <t>DashOk-2.05x1.5-Sb-6-b</t>
  </si>
  <si>
    <t>DashOk-2.05x1.5-Sb-4-p</t>
  </si>
  <si>
    <t>DashOk-2.05x1.5-Hb-3-b</t>
  </si>
  <si>
    <t>DashOk-2.05x1.5-Hb-3-p</t>
  </si>
  <si>
    <t>DashOk-2.05x1-Sb-4-p</t>
  </si>
  <si>
    <t>DashOk-2.05x1-Sb-4-b</t>
  </si>
  <si>
    <t>DashOk-2.05x1-Sb-6-p</t>
  </si>
  <si>
    <t>DashOk-2.05x1-Hb-3-b</t>
  </si>
  <si>
    <t>DashOk-2.05x1-Hb-4-b</t>
  </si>
  <si>
    <t>DashOk-2.05x1-Hb-6-p</t>
  </si>
  <si>
    <t>DashOk-3.05x1-Fb-4-p</t>
  </si>
  <si>
    <t>DashOk-3.05x1.5-Hb-3-p</t>
  </si>
  <si>
    <t>DashOk-3.05x1-Hb-4-b</t>
  </si>
  <si>
    <t>DashOk-1.5x1-Sb-6-b</t>
  </si>
  <si>
    <t>DashOk-3.05x1-Fb-3-p</t>
  </si>
  <si>
    <t>DashOk-3.05x1.5-Fb-4-b</t>
  </si>
  <si>
    <t>DashOk-3.05x1.5-Fb-3-p</t>
  </si>
  <si>
    <t>DashOk-3.05x1.5-Fb-4-p</t>
  </si>
  <si>
    <t>DashOk-3.05x1-Hb-3-р</t>
  </si>
  <si>
    <t>DashOk-3.05x1.5-Sb-3-p</t>
  </si>
  <si>
    <t>DashOk-3.05x1.5-Ss-4-b</t>
  </si>
  <si>
    <t>DashOk-3.05x1.5-Sb-4-p</t>
  </si>
  <si>
    <t>DashOk-3.05x1.5-Hs-4-b</t>
  </si>
  <si>
    <t>DashOk-4,05x1-Fb-3-b</t>
  </si>
  <si>
    <t>DashOk-4,05x1-Fb-3-р</t>
  </si>
  <si>
    <t>DashOk-4,05x1-Fb-4-b</t>
  </si>
  <si>
    <t>DashOk-4,05x1-Fs-4-р</t>
  </si>
  <si>
    <t>DashOk-4,05x1-Fb-6-b</t>
  </si>
  <si>
    <t>DashOk-4,05x1-Fs-6-р</t>
  </si>
  <si>
    <t>DashOk-4,05x1.5-Fb-3-b</t>
  </si>
  <si>
    <t>DashOk-4,05x1.5-Fb-3-р</t>
  </si>
  <si>
    <t>DashOk-4,05x1.5-Fb-4-b</t>
  </si>
  <si>
    <t>DashOk-4,05x1.5-Fb-4-р</t>
  </si>
  <si>
    <t>DashOk-4,05x1.5-Fb-6-b</t>
  </si>
  <si>
    <t>DashOk-4,05x1.5-Fb-6-р</t>
  </si>
  <si>
    <t>DashOk-4,05x1-Sb-3-b</t>
  </si>
  <si>
    <t>NormalPrice</t>
  </si>
  <si>
    <t>DoublePrice_2num</t>
  </si>
  <si>
    <t>DoublePrice_8num</t>
  </si>
  <si>
    <t>NegativePrice</t>
  </si>
  <si>
    <t xml:space="preserve"> </t>
  </si>
  <si>
    <t>Formula10_000div3</t>
  </si>
  <si>
    <t>Formula20_000div2</t>
  </si>
  <si>
    <t>Formula5_000mult2</t>
  </si>
  <si>
    <t>Formula5_000plus5_000</t>
  </si>
  <si>
    <t>TestProduct_in_SECOND_LAYER</t>
  </si>
  <si>
    <t>TEST PRODUCT IN THREE LAYER AND 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</si>
</sst>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4F4F4"/>
        <bgColor rgb="FF000000"/>
      </patternFill>
    </fill>
    <fill>
      <patternFill patternType="solid">
        <fgColor rgb="FFE1E1E1"/>
        <bgColor rgb="FF000000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" fillId="4" borderId="1" xfId="0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50"/>
  <sheetViews>
    <sheetView zoomScaleNormal="100" workbookViewId="0">
      <selection activeCell="B26" sqref="B26"/>
    </sheetView>
  </sheetViews>
  <sheetFormatPr defaultColWidth="20.7109375" defaultRowHeight="15" x14ac:dyDescent="0.25"/>
  <cols>
    <col min="1" max="1" width="32.7109375" customWidth="1"/>
    <col min="2" max="2" width="29.28515625" customWidth="1"/>
    <col min="3" max="3" width="22" customWidth="1"/>
    <col min="4" max="4" width="17.28515625" customWidth="1"/>
    <col min="5" max="5" width="17" customWidth="1"/>
    <col min="6" max="6" width="1.42578125" style="7" bestFit="1" customWidth="1"/>
    <col min="7" max="7" width="9.85546875" customWidth="1"/>
    <col min="8" max="8" width="8.42578125" customWidth="1"/>
    <col min="9" max="9" width="1.42578125" style="7" bestFit="1" customWidth="1"/>
    <col min="10" max="10" width="2.85546875" bestFit="1" customWidth="1"/>
    <col min="11" max="11" width="8.42578125" bestFit="1" customWidth="1"/>
    <col min="12" max="12" width="4" bestFit="1" customWidth="1"/>
    <col min="13" max="13" width="9.7109375" bestFit="1" customWidth="1"/>
    <col min="14" max="14" width="6.140625" bestFit="1" customWidth="1"/>
    <col min="15" max="15" width="11.140625" bestFit="1" customWidth="1"/>
    <col min="16" max="16" width="6" bestFit="1" customWidth="1"/>
    <col min="17" max="17" width="11.7109375" bestFit="1" customWidth="1"/>
    <col min="18" max="18" width="8.85546875" style="2" bestFit="1" customWidth="1"/>
    <col min="19" max="19" width="36.28515625" bestFit="1" customWidth="1"/>
    <col min="20" max="20" width="38.140625" bestFit="1" customWidth="1"/>
    <col min="21" max="21" width="10" bestFit="1" customWidth="1"/>
    <col min="22" max="22" width="6.7109375" bestFit="1" customWidth="1"/>
    <col min="23" max="23" width="20.85546875" bestFit="1" customWidth="1"/>
    <col min="24" max="24" width="17.42578125" bestFit="1" customWidth="1"/>
    <col min="25" max="25" width="12.42578125" bestFit="1" customWidth="1"/>
    <col min="26" max="26" width="14" bestFit="1" customWidth="1"/>
    <col min="27" max="27" width="14.140625" bestFit="1" customWidth="1"/>
    <col min="28" max="28" width="10.85546875" bestFit="1" customWidth="1"/>
    <col min="29" max="29" width="18.7109375" bestFit="1" customWidth="1"/>
    <col min="30" max="30" width="14.7109375" bestFit="1" customWidth="1"/>
    <col min="31" max="31" width="15.5703125" bestFit="1" customWidth="1"/>
    <col min="32" max="32" width="25.28515625" bestFit="1" customWidth="1"/>
    <col min="33" max="33" width="25.5703125" bestFit="1" customWidth="1"/>
    <col min="34" max="34" width="32.7109375" bestFit="1" customWidth="1"/>
    <col min="35" max="35" width="18.7109375" bestFit="1" customWidth="1"/>
    <col min="36" max="36" width="18.85546875" bestFit="1" customWidth="1"/>
    <col min="37" max="37" width="24.5703125" bestFit="1" customWidth="1"/>
    <col min="38" max="38" width="26" bestFit="1" customWidth="1"/>
    <col min="39" max="39" width="20.28515625" bestFit="1" customWidth="1"/>
    <col min="40" max="40" width="21" bestFit="1" customWidth="1"/>
    <col min="41" max="41" width="21.140625" bestFit="1" customWidth="1"/>
    <col min="42" max="42" width="23.7109375" bestFit="1" customWidth="1"/>
    <col min="43" max="43" width="30.85546875" bestFit="1" customWidth="1"/>
    <col min="44" max="44" width="29.85546875" bestFit="1" customWidth="1"/>
    <col min="45" max="45" width="11.28515625" bestFit="1" customWidth="1"/>
    <col min="46" max="46" width="15.28515625" bestFit="1" customWidth="1"/>
    <col min="47" max="47" width="29.7109375" bestFit="1" customWidth="1"/>
    <col min="48" max="48" width="12.140625" bestFit="1" customWidth="1"/>
    <col min="49" max="49" width="14.5703125" bestFit="1" customWidth="1"/>
  </cols>
  <sheetData>
    <row r="1" spans="1:49" x14ac:dyDescent="0.25">
      <c r="A1" s="1" t="s">
        <v>4</v>
      </c>
      <c r="B1" s="1" t="s">
        <v>8</v>
      </c>
      <c r="C1" s="1" t="s">
        <v>9</v>
      </c>
      <c r="D1" s="1" t="s">
        <v>16</v>
      </c>
      <c r="E1" s="1" t="s">
        <v>12</v>
      </c>
      <c r="F1" s="6" t="s">
        <v>91</v>
      </c>
      <c r="G1" s="1"/>
      <c r="H1" s="1"/>
      <c r="I1" s="6" t="s">
        <v>91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5</v>
      </c>
      <c r="O1" s="1" t="s">
        <v>6</v>
      </c>
      <c r="P1" s="1" t="s">
        <v>7</v>
      </c>
      <c r="Q1" s="1" t="s">
        <v>10</v>
      </c>
      <c r="R1" s="1" t="s">
        <v>11</v>
      </c>
      <c r="S1" s="3" t="s">
        <v>13</v>
      </c>
      <c r="T1" s="3" t="s">
        <v>14</v>
      </c>
      <c r="U1" s="1" t="s">
        <v>15</v>
      </c>
      <c r="V1" s="1" t="s">
        <v>17</v>
      </c>
      <c r="W1" s="1" t="s">
        <v>18</v>
      </c>
      <c r="X1" s="1" t="s">
        <v>19</v>
      </c>
      <c r="Y1" s="1" t="s">
        <v>20</v>
      </c>
      <c r="Z1" s="4" t="s">
        <v>21</v>
      </c>
      <c r="AA1" s="4" t="s">
        <v>22</v>
      </c>
      <c r="AB1" s="4" t="s">
        <v>31</v>
      </c>
      <c r="AC1" s="4" t="s">
        <v>32</v>
      </c>
      <c r="AD1" s="4" t="s">
        <v>23</v>
      </c>
      <c r="AE1" s="4" t="s">
        <v>33</v>
      </c>
      <c r="AF1" s="4" t="s">
        <v>24</v>
      </c>
      <c r="AG1" s="4" t="s">
        <v>25</v>
      </c>
      <c r="AH1" s="4" t="s">
        <v>26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27</v>
      </c>
      <c r="AQ1" s="4" t="s">
        <v>28</v>
      </c>
      <c r="AR1" s="4" t="s">
        <v>29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</row>
    <row r="2" spans="1:49" x14ac:dyDescent="0.25">
      <c r="A2" t="s">
        <v>87</v>
      </c>
      <c r="B2">
        <v>10000</v>
      </c>
      <c r="C2">
        <v>10649.6</v>
      </c>
      <c r="D2" t="s">
        <v>30</v>
      </c>
      <c r="E2">
        <v>1</v>
      </c>
      <c r="K2" s="5"/>
    </row>
    <row r="3" spans="1:49" x14ac:dyDescent="0.25">
      <c r="A3" t="s">
        <v>88</v>
      </c>
      <c r="B3">
        <v>10000.67</v>
      </c>
      <c r="C3">
        <v>8153.6</v>
      </c>
      <c r="D3" t="s">
        <v>30</v>
      </c>
      <c r="E3">
        <v>1</v>
      </c>
      <c r="K3" s="5"/>
    </row>
    <row r="4" spans="1:49" x14ac:dyDescent="0.25">
      <c r="A4" t="s">
        <v>89</v>
      </c>
      <c r="B4">
        <v>10000.12345678</v>
      </c>
      <c r="C4">
        <v>7238.4</v>
      </c>
      <c r="D4" t="s">
        <v>30</v>
      </c>
      <c r="E4">
        <v>1</v>
      </c>
      <c r="K4" s="5"/>
    </row>
    <row r="5" spans="1:49" x14ac:dyDescent="0.25">
      <c r="A5" t="s">
        <v>90</v>
      </c>
      <c r="B5">
        <v>-10000</v>
      </c>
      <c r="C5">
        <v>8153.6</v>
      </c>
      <c r="D5" t="s">
        <v>30</v>
      </c>
      <c r="E5">
        <v>10</v>
      </c>
      <c r="K5" s="5"/>
    </row>
    <row r="6" spans="1:49" x14ac:dyDescent="0.25">
      <c r="A6" t="s">
        <v>95</v>
      </c>
      <c r="B6">
        <f>G6+H6</f>
        <v>10000</v>
      </c>
      <c r="C6">
        <v>9110.4</v>
      </c>
      <c r="D6" t="s">
        <v>30</v>
      </c>
      <c r="E6">
        <v>10</v>
      </c>
      <c r="G6" s="5">
        <v>5000</v>
      </c>
      <c r="H6" s="5">
        <v>5000</v>
      </c>
      <c r="I6" s="8"/>
    </row>
    <row r="7" spans="1:49" x14ac:dyDescent="0.25">
      <c r="A7" t="s">
        <v>94</v>
      </c>
      <c r="B7">
        <f>G7*H7</f>
        <v>10000</v>
      </c>
      <c r="C7">
        <v>8153.6</v>
      </c>
      <c r="D7" t="s">
        <v>30</v>
      </c>
      <c r="E7">
        <v>1</v>
      </c>
      <c r="G7" s="5">
        <v>5000</v>
      </c>
      <c r="H7">
        <v>2</v>
      </c>
    </row>
    <row r="8" spans="1:49" x14ac:dyDescent="0.25">
      <c r="A8" t="s">
        <v>93</v>
      </c>
      <c r="B8">
        <f>G8/H8</f>
        <v>10000</v>
      </c>
      <c r="C8">
        <v>9110.4</v>
      </c>
      <c r="D8" t="s">
        <v>30</v>
      </c>
      <c r="E8">
        <v>1</v>
      </c>
      <c r="G8" s="5">
        <v>20000</v>
      </c>
      <c r="H8">
        <v>2</v>
      </c>
    </row>
    <row r="9" spans="1:49" x14ac:dyDescent="0.25">
      <c r="A9" t="s">
        <v>92</v>
      </c>
      <c r="B9">
        <f>G9/H9</f>
        <v>3333.3333333333335</v>
      </c>
      <c r="C9">
        <v>19063.2</v>
      </c>
      <c r="D9" t="s">
        <v>30</v>
      </c>
      <c r="E9">
        <v>10</v>
      </c>
      <c r="G9" s="5">
        <v>10000</v>
      </c>
      <c r="H9">
        <v>3</v>
      </c>
      <c r="K9" s="5"/>
    </row>
    <row r="10" spans="1:49" x14ac:dyDescent="0.25">
      <c r="A10" t="s">
        <v>46</v>
      </c>
      <c r="B10">
        <v>10000</v>
      </c>
      <c r="C10">
        <v>12324</v>
      </c>
      <c r="D10" t="s">
        <v>30</v>
      </c>
      <c r="E10">
        <v>1</v>
      </c>
      <c r="K10" s="5"/>
    </row>
    <row r="11" spans="1:49" x14ac:dyDescent="0.25">
      <c r="A11" t="s">
        <v>47</v>
      </c>
      <c r="B11">
        <v>10000</v>
      </c>
      <c r="C11">
        <v>12324</v>
      </c>
      <c r="D11" t="s">
        <v>30</v>
      </c>
      <c r="E11">
        <v>10</v>
      </c>
      <c r="K11" s="5"/>
    </row>
    <row r="12" spans="1:49" x14ac:dyDescent="0.25">
      <c r="A12" t="s">
        <v>48</v>
      </c>
      <c r="B12">
        <v>10000</v>
      </c>
      <c r="C12">
        <v>17399.2</v>
      </c>
      <c r="D12" t="s">
        <v>30</v>
      </c>
      <c r="E12">
        <v>10</v>
      </c>
      <c r="K12" s="5"/>
    </row>
    <row r="13" spans="1:49" x14ac:dyDescent="0.25">
      <c r="A13" t="s">
        <v>49</v>
      </c>
      <c r="B13">
        <v>10000</v>
      </c>
      <c r="C13">
        <v>14809.6</v>
      </c>
      <c r="D13" t="s">
        <v>30</v>
      </c>
      <c r="E13">
        <v>10</v>
      </c>
      <c r="K13" s="5"/>
    </row>
    <row r="14" spans="1:49" x14ac:dyDescent="0.25">
      <c r="A14" t="s">
        <v>50</v>
      </c>
      <c r="B14">
        <v>10000</v>
      </c>
      <c r="C14">
        <v>19063.2</v>
      </c>
      <c r="D14" t="s">
        <v>30</v>
      </c>
      <c r="E14">
        <v>10</v>
      </c>
      <c r="K14" s="5"/>
    </row>
    <row r="15" spans="1:49" x14ac:dyDescent="0.25">
      <c r="A15" t="s">
        <v>51</v>
      </c>
      <c r="B15">
        <v>10000</v>
      </c>
      <c r="C15">
        <v>14809.6</v>
      </c>
      <c r="D15" t="s">
        <v>30</v>
      </c>
      <c r="E15">
        <v>10</v>
      </c>
      <c r="M15" s="5"/>
      <c r="R15"/>
      <c r="T15" s="2"/>
    </row>
    <row r="16" spans="1:49" x14ac:dyDescent="0.25">
      <c r="A16" t="s">
        <v>52</v>
      </c>
      <c r="B16">
        <v>10000</v>
      </c>
      <c r="C16">
        <v>19063.2</v>
      </c>
      <c r="D16" t="s">
        <v>30</v>
      </c>
      <c r="E16">
        <v>10</v>
      </c>
      <c r="M16" s="5"/>
      <c r="R16"/>
      <c r="T16" s="2"/>
    </row>
    <row r="17" spans="1:20" x14ac:dyDescent="0.25">
      <c r="A17" t="s">
        <v>53</v>
      </c>
      <c r="B17">
        <v>10000</v>
      </c>
      <c r="C17">
        <v>17399.2</v>
      </c>
      <c r="D17" t="s">
        <v>30</v>
      </c>
      <c r="E17">
        <v>1</v>
      </c>
      <c r="M17" s="5"/>
      <c r="R17"/>
      <c r="T17" s="2"/>
    </row>
    <row r="18" spans="1:20" x14ac:dyDescent="0.25">
      <c r="A18" t="s">
        <v>54</v>
      </c>
      <c r="B18">
        <v>10000</v>
      </c>
      <c r="C18">
        <v>17399.2</v>
      </c>
      <c r="D18" t="s">
        <v>30</v>
      </c>
      <c r="E18">
        <v>1</v>
      </c>
      <c r="K18" s="5"/>
    </row>
    <row r="19" spans="1:20" x14ac:dyDescent="0.25">
      <c r="A19" t="s">
        <v>55</v>
      </c>
      <c r="B19">
        <v>10000</v>
      </c>
      <c r="C19">
        <v>13520</v>
      </c>
      <c r="D19" t="s">
        <v>30</v>
      </c>
      <c r="E19">
        <v>10</v>
      </c>
      <c r="K19" s="5"/>
    </row>
    <row r="20" spans="1:20" x14ac:dyDescent="0.25">
      <c r="A20" t="s">
        <v>56</v>
      </c>
      <c r="B20">
        <v>10000</v>
      </c>
      <c r="C20">
        <v>13520</v>
      </c>
      <c r="D20" t="s">
        <v>30</v>
      </c>
      <c r="E20">
        <v>10</v>
      </c>
      <c r="K20" s="5"/>
    </row>
    <row r="21" spans="1:20" x14ac:dyDescent="0.25">
      <c r="A21" t="s">
        <v>57</v>
      </c>
      <c r="B21">
        <v>10000</v>
      </c>
      <c r="C21">
        <v>10649.6</v>
      </c>
      <c r="D21" t="s">
        <v>30</v>
      </c>
      <c r="E21">
        <v>10</v>
      </c>
      <c r="K21" s="5"/>
    </row>
    <row r="22" spans="1:20" x14ac:dyDescent="0.25">
      <c r="A22" t="s">
        <v>58</v>
      </c>
      <c r="B22">
        <v>10000</v>
      </c>
      <c r="C22">
        <v>12324</v>
      </c>
      <c r="D22" t="s">
        <v>30</v>
      </c>
      <c r="E22">
        <v>1</v>
      </c>
      <c r="K22" s="5"/>
    </row>
    <row r="23" spans="1:20" x14ac:dyDescent="0.25">
      <c r="A23" t="s">
        <v>59</v>
      </c>
      <c r="B23">
        <v>10000</v>
      </c>
      <c r="C23">
        <v>13520</v>
      </c>
      <c r="D23" t="s">
        <v>30</v>
      </c>
      <c r="E23">
        <v>10</v>
      </c>
      <c r="K23" s="5"/>
    </row>
    <row r="24" spans="1:20" x14ac:dyDescent="0.25">
      <c r="A24" t="s">
        <v>60</v>
      </c>
      <c r="B24">
        <v>10000</v>
      </c>
      <c r="C24">
        <v>10649.6</v>
      </c>
      <c r="D24" t="s">
        <v>30</v>
      </c>
      <c r="E24">
        <v>1</v>
      </c>
      <c r="K24" s="5"/>
    </row>
    <row r="25" spans="1:20" x14ac:dyDescent="0.25">
      <c r="A25" t="s">
        <v>61</v>
      </c>
      <c r="B25">
        <v>10000</v>
      </c>
      <c r="C25">
        <v>18148</v>
      </c>
      <c r="D25" t="s">
        <v>30</v>
      </c>
      <c r="E25">
        <v>10</v>
      </c>
      <c r="K25" s="5"/>
    </row>
    <row r="26" spans="1:20" x14ac:dyDescent="0.25">
      <c r="A26" t="s">
        <v>62</v>
      </c>
      <c r="B26">
        <v>10000</v>
      </c>
      <c r="C26">
        <v>28932.799999999999</v>
      </c>
      <c r="D26" t="s">
        <v>30</v>
      </c>
      <c r="E26">
        <v>10</v>
      </c>
      <c r="K26" s="5"/>
    </row>
    <row r="27" spans="1:20" x14ac:dyDescent="0.25">
      <c r="A27" t="s">
        <v>63</v>
      </c>
      <c r="B27">
        <v>10000</v>
      </c>
      <c r="C27">
        <v>18148</v>
      </c>
      <c r="D27" t="s">
        <v>30</v>
      </c>
      <c r="E27">
        <v>10</v>
      </c>
      <c r="K27" s="5"/>
    </row>
    <row r="28" spans="1:20" x14ac:dyDescent="0.25">
      <c r="A28" t="s">
        <v>64</v>
      </c>
      <c r="B28">
        <v>10000</v>
      </c>
      <c r="C28">
        <v>7238.4</v>
      </c>
      <c r="D28" t="s">
        <v>30</v>
      </c>
      <c r="E28">
        <v>10</v>
      </c>
      <c r="K28" s="5"/>
    </row>
    <row r="29" spans="1:20" x14ac:dyDescent="0.25">
      <c r="A29" t="s">
        <v>65</v>
      </c>
      <c r="B29">
        <v>10000</v>
      </c>
      <c r="C29">
        <v>16525.599999999999</v>
      </c>
      <c r="D29" t="s">
        <v>30</v>
      </c>
      <c r="E29">
        <v>10</v>
      </c>
      <c r="K29" s="5"/>
    </row>
    <row r="30" spans="1:20" x14ac:dyDescent="0.25">
      <c r="A30" t="s">
        <v>66</v>
      </c>
      <c r="B30">
        <v>10000</v>
      </c>
      <c r="C30">
        <v>32052.799999999999</v>
      </c>
      <c r="D30" t="s">
        <v>30</v>
      </c>
      <c r="E30">
        <v>1</v>
      </c>
      <c r="K30" s="5"/>
    </row>
    <row r="31" spans="1:20" x14ac:dyDescent="0.25">
      <c r="A31" t="s">
        <v>67</v>
      </c>
      <c r="B31">
        <v>10000</v>
      </c>
      <c r="C31">
        <v>28932.799999999999</v>
      </c>
      <c r="D31" t="s">
        <v>30</v>
      </c>
      <c r="E31">
        <v>10</v>
      </c>
      <c r="K31" s="5"/>
    </row>
    <row r="32" spans="1:20" x14ac:dyDescent="0.25">
      <c r="A32" t="s">
        <v>68</v>
      </c>
      <c r="B32">
        <v>10000</v>
      </c>
      <c r="C32">
        <v>32052.799999999999</v>
      </c>
      <c r="D32" t="s">
        <v>30</v>
      </c>
      <c r="E32">
        <v>1</v>
      </c>
      <c r="K32" s="5"/>
    </row>
    <row r="33" spans="1:11" x14ac:dyDescent="0.25">
      <c r="A33" t="s">
        <v>69</v>
      </c>
      <c r="B33">
        <v>10000</v>
      </c>
      <c r="C33">
        <v>16525.599999999999</v>
      </c>
      <c r="D33" t="s">
        <v>30</v>
      </c>
      <c r="E33">
        <v>10</v>
      </c>
      <c r="K33" s="5"/>
    </row>
    <row r="34" spans="1:11" x14ac:dyDescent="0.25">
      <c r="A34" t="s">
        <v>70</v>
      </c>
      <c r="B34">
        <v>10000</v>
      </c>
      <c r="C34">
        <v>28932.799999999999</v>
      </c>
      <c r="D34" t="s">
        <v>30</v>
      </c>
      <c r="E34">
        <v>10</v>
      </c>
      <c r="K34" s="5"/>
    </row>
    <row r="35" spans="1:11" x14ac:dyDescent="0.25">
      <c r="A35" t="s">
        <v>71</v>
      </c>
      <c r="B35">
        <v>10000</v>
      </c>
      <c r="C35">
        <v>32052.799999999999</v>
      </c>
      <c r="D35" t="s">
        <v>30</v>
      </c>
      <c r="E35">
        <v>10</v>
      </c>
      <c r="K35" s="5"/>
    </row>
    <row r="36" spans="1:11" x14ac:dyDescent="0.25">
      <c r="A36" t="s">
        <v>72</v>
      </c>
      <c r="B36">
        <v>10000</v>
      </c>
      <c r="C36">
        <v>32052.799999999999</v>
      </c>
      <c r="D36" t="s">
        <v>30</v>
      </c>
      <c r="E36">
        <v>10</v>
      </c>
      <c r="K36" s="5"/>
    </row>
    <row r="37" spans="1:11" x14ac:dyDescent="0.25">
      <c r="A37" t="s">
        <v>73</v>
      </c>
      <c r="B37">
        <v>10000</v>
      </c>
      <c r="C37">
        <v>32052.799999999999</v>
      </c>
      <c r="D37" t="s">
        <v>30</v>
      </c>
      <c r="E37">
        <v>1</v>
      </c>
      <c r="K37" s="5"/>
    </row>
    <row r="38" spans="1:11" x14ac:dyDescent="0.25">
      <c r="A38" t="s">
        <v>74</v>
      </c>
      <c r="B38">
        <v>10000</v>
      </c>
      <c r="C38">
        <v>23046.400000000001</v>
      </c>
      <c r="D38" t="s">
        <v>30</v>
      </c>
      <c r="E38">
        <v>1</v>
      </c>
      <c r="K38" s="5"/>
    </row>
    <row r="39" spans="1:11" x14ac:dyDescent="0.25">
      <c r="A39" t="s">
        <v>75</v>
      </c>
      <c r="B39">
        <v>10000</v>
      </c>
      <c r="C39">
        <v>23046.400000000001</v>
      </c>
      <c r="D39" t="s">
        <v>30</v>
      </c>
      <c r="E39">
        <v>1</v>
      </c>
      <c r="K39" s="5"/>
    </row>
    <row r="40" spans="1:11" x14ac:dyDescent="0.25">
      <c r="A40" t="s">
        <v>76</v>
      </c>
      <c r="B40">
        <v>10000</v>
      </c>
      <c r="C40">
        <v>25199.200000000001</v>
      </c>
      <c r="D40" t="s">
        <v>30</v>
      </c>
      <c r="E40">
        <v>10</v>
      </c>
      <c r="K40" s="5"/>
    </row>
    <row r="41" spans="1:11" x14ac:dyDescent="0.25">
      <c r="A41" t="s">
        <v>77</v>
      </c>
      <c r="B41">
        <v>10000</v>
      </c>
      <c r="C41">
        <v>25199.200000000001</v>
      </c>
      <c r="D41" t="s">
        <v>30</v>
      </c>
      <c r="E41">
        <v>10</v>
      </c>
      <c r="K41" s="5"/>
    </row>
    <row r="42" spans="1:11" x14ac:dyDescent="0.25">
      <c r="A42" t="s">
        <v>78</v>
      </c>
      <c r="B42">
        <v>10000</v>
      </c>
      <c r="C42">
        <v>19489.599999999999</v>
      </c>
      <c r="D42" t="s">
        <v>30</v>
      </c>
      <c r="E42">
        <v>10</v>
      </c>
      <c r="K42" s="5"/>
    </row>
    <row r="43" spans="1:11" x14ac:dyDescent="0.25">
      <c r="A43" t="s">
        <v>79</v>
      </c>
      <c r="B43">
        <v>10000</v>
      </c>
      <c r="C43">
        <v>19489.599999999999</v>
      </c>
      <c r="D43" t="s">
        <v>30</v>
      </c>
      <c r="E43">
        <v>10</v>
      </c>
      <c r="K43" s="5"/>
    </row>
    <row r="44" spans="1:11" x14ac:dyDescent="0.25">
      <c r="A44" t="s">
        <v>80</v>
      </c>
      <c r="B44">
        <v>10000</v>
      </c>
      <c r="C44">
        <v>38480</v>
      </c>
      <c r="D44" t="s">
        <v>30</v>
      </c>
      <c r="E44">
        <v>10</v>
      </c>
      <c r="K44" s="5"/>
    </row>
    <row r="45" spans="1:11" x14ac:dyDescent="0.25">
      <c r="A45" t="s">
        <v>81</v>
      </c>
      <c r="B45">
        <v>10000</v>
      </c>
      <c r="C45">
        <v>38480</v>
      </c>
      <c r="D45" t="s">
        <v>30</v>
      </c>
      <c r="E45">
        <v>10</v>
      </c>
      <c r="K45" s="5"/>
    </row>
    <row r="46" spans="1:11" x14ac:dyDescent="0.25">
      <c r="A46" t="s">
        <v>82</v>
      </c>
      <c r="B46">
        <v>10000</v>
      </c>
      <c r="C46">
        <v>42473.599999999999</v>
      </c>
      <c r="D46" t="s">
        <v>30</v>
      </c>
      <c r="E46">
        <v>10</v>
      </c>
      <c r="K46" s="5"/>
    </row>
    <row r="47" spans="1:11" x14ac:dyDescent="0.25">
      <c r="A47" t="s">
        <v>83</v>
      </c>
      <c r="B47">
        <v>10000</v>
      </c>
      <c r="C47">
        <v>42473.599999999999</v>
      </c>
      <c r="D47" t="s">
        <v>30</v>
      </c>
      <c r="E47">
        <v>10</v>
      </c>
      <c r="K47" s="5"/>
    </row>
    <row r="48" spans="1:11" x14ac:dyDescent="0.25">
      <c r="A48" t="s">
        <v>84</v>
      </c>
      <c r="B48">
        <v>10000</v>
      </c>
      <c r="C48">
        <v>31356</v>
      </c>
      <c r="D48" t="s">
        <v>30</v>
      </c>
      <c r="E48">
        <v>10</v>
      </c>
      <c r="K48" s="5"/>
    </row>
    <row r="49" spans="1:11" x14ac:dyDescent="0.25">
      <c r="A49" t="s">
        <v>85</v>
      </c>
      <c r="B49">
        <v>10000</v>
      </c>
      <c r="C49">
        <v>31356</v>
      </c>
      <c r="D49" t="s">
        <v>30</v>
      </c>
      <c r="E49">
        <v>10</v>
      </c>
      <c r="K49" s="5"/>
    </row>
    <row r="50" spans="1:11" x14ac:dyDescent="0.25">
      <c r="A50" t="s">
        <v>86</v>
      </c>
      <c r="B50">
        <v>10000</v>
      </c>
      <c r="C50">
        <v>23046.400000000001</v>
      </c>
      <c r="D50" t="s">
        <v>30</v>
      </c>
      <c r="E50">
        <v>1</v>
      </c>
      <c r="K50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S409"/>
  <sheetViews>
    <sheetView workbookViewId="0">
      <selection activeCell="C6" sqref="C6"/>
    </sheetView>
  </sheetViews>
  <sheetFormatPr defaultRowHeight="15" x14ac:dyDescent="0.25"/>
  <cols>
    <col min="1" max="1" width="29.42578125" bestFit="1" customWidth="1"/>
    <col min="2" max="2" width="8" bestFit="1" customWidth="1"/>
    <col min="3" max="3" width="10.42578125" bestFit="1" customWidth="1"/>
    <col min="4" max="4" width="9.7109375" bestFit="1" customWidth="1"/>
    <col min="5" max="5" width="9" bestFit="1" customWidth="1"/>
    <col min="6" max="6" width="2.85546875" bestFit="1" customWidth="1"/>
    <col min="7" max="7" width="8.42578125" bestFit="1" customWidth="1"/>
    <col min="8" max="8" width="4" style="2" bestFit="1" customWidth="1"/>
    <col min="9" max="9" width="9.7109375" bestFit="1" customWidth="1"/>
    <col min="10" max="10" width="6.140625" bestFit="1" customWidth="1"/>
    <col min="11" max="11" width="11.140625" bestFit="1" customWidth="1"/>
    <col min="12" max="12" width="6" bestFit="1" customWidth="1"/>
    <col min="13" max="13" width="11.7109375" bestFit="1" customWidth="1"/>
    <col min="14" max="14" width="8.85546875" bestFit="1" customWidth="1"/>
    <col min="15" max="15" width="36.28515625" bestFit="1" customWidth="1"/>
    <col min="16" max="16" width="38.140625" bestFit="1" customWidth="1"/>
    <col min="17" max="17" width="10" bestFit="1" customWidth="1"/>
    <col min="18" max="18" width="6.7109375" bestFit="1" customWidth="1"/>
    <col min="19" max="19" width="20.85546875" bestFit="1" customWidth="1"/>
    <col min="20" max="20" width="17.42578125" bestFit="1" customWidth="1"/>
    <col min="21" max="21" width="12.42578125" bestFit="1" customWidth="1"/>
    <col min="22" max="22" width="14" bestFit="1" customWidth="1"/>
    <col min="23" max="23" width="14.140625" bestFit="1" customWidth="1"/>
    <col min="24" max="24" width="10.85546875" bestFit="1" customWidth="1"/>
    <col min="25" max="25" width="18.7109375" bestFit="1" customWidth="1"/>
    <col min="26" max="26" width="14.7109375" bestFit="1" customWidth="1"/>
    <col min="27" max="27" width="15.5703125" bestFit="1" customWidth="1"/>
    <col min="28" max="28" width="25.28515625" bestFit="1" customWidth="1"/>
    <col min="29" max="29" width="25.5703125" bestFit="1" customWidth="1"/>
    <col min="30" max="30" width="32.7109375" bestFit="1" customWidth="1"/>
    <col min="31" max="31" width="18.7109375" bestFit="1" customWidth="1"/>
    <col min="32" max="32" width="18.85546875" bestFit="1" customWidth="1"/>
    <col min="33" max="33" width="24.5703125" bestFit="1" customWidth="1"/>
    <col min="34" max="34" width="26" bestFit="1" customWidth="1"/>
    <col min="35" max="35" width="20.28515625" bestFit="1" customWidth="1"/>
    <col min="36" max="36" width="21" bestFit="1" customWidth="1"/>
    <col min="37" max="37" width="21.140625" bestFit="1" customWidth="1"/>
    <col min="38" max="38" width="23.7109375" bestFit="1" customWidth="1"/>
    <col min="39" max="39" width="30.85546875" bestFit="1" customWidth="1"/>
    <col min="40" max="40" width="29.85546875" bestFit="1" customWidth="1"/>
    <col min="41" max="41" width="11.28515625" bestFit="1" customWidth="1"/>
    <col min="42" max="42" width="15.28515625" bestFit="1" customWidth="1"/>
    <col min="43" max="43" width="29.7109375" bestFit="1" customWidth="1"/>
    <col min="44" max="44" width="12.140625" bestFit="1" customWidth="1"/>
    <col min="45" max="45" width="14.5703125" bestFit="1" customWidth="1"/>
  </cols>
  <sheetData>
    <row r="1" spans="1:45" x14ac:dyDescent="0.25">
      <c r="A1" s="1" t="s">
        <v>4</v>
      </c>
      <c r="B1" s="1" t="s">
        <v>8</v>
      </c>
      <c r="C1" s="1" t="s">
        <v>9</v>
      </c>
      <c r="D1" s="1" t="s">
        <v>16</v>
      </c>
      <c r="E1" s="1" t="s">
        <v>12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5</v>
      </c>
      <c r="K1" s="1" t="s">
        <v>6</v>
      </c>
      <c r="L1" s="1" t="s">
        <v>7</v>
      </c>
      <c r="M1" s="1" t="s">
        <v>10</v>
      </c>
      <c r="N1" s="1" t="s">
        <v>11</v>
      </c>
      <c r="O1" s="3" t="s">
        <v>13</v>
      </c>
      <c r="P1" s="3" t="s">
        <v>14</v>
      </c>
      <c r="Q1" s="1" t="s">
        <v>15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4" t="s">
        <v>22</v>
      </c>
      <c r="X1" s="4" t="s">
        <v>31</v>
      </c>
      <c r="Y1" s="4" t="s">
        <v>32</v>
      </c>
      <c r="Z1" s="4" t="s">
        <v>23</v>
      </c>
      <c r="AA1" s="4" t="s">
        <v>33</v>
      </c>
      <c r="AB1" s="4" t="s">
        <v>24</v>
      </c>
      <c r="AC1" s="4" t="s">
        <v>25</v>
      </c>
      <c r="AD1" s="4" t="s">
        <v>26</v>
      </c>
      <c r="AE1" s="4" t="s">
        <v>34</v>
      </c>
      <c r="AF1" s="4" t="s">
        <v>35</v>
      </c>
      <c r="AG1" s="4" t="s">
        <v>36</v>
      </c>
      <c r="AH1" s="4" t="s">
        <v>37</v>
      </c>
      <c r="AI1" s="4" t="s">
        <v>38</v>
      </c>
      <c r="AJ1" s="4" t="s">
        <v>39</v>
      </c>
      <c r="AK1" s="4" t="s">
        <v>40</v>
      </c>
      <c r="AL1" s="4" t="s">
        <v>27</v>
      </c>
      <c r="AM1" s="4" t="s">
        <v>28</v>
      </c>
      <c r="AN1" s="4" t="s">
        <v>29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</row>
    <row r="2" spans="1:45" x14ac:dyDescent="0.25">
      <c r="A2" t="s">
        <v>96</v>
      </c>
      <c r="B2" s="5">
        <v>1235123</v>
      </c>
    </row>
    <row r="3" spans="1:45" x14ac:dyDescent="0.25">
      <c r="B3" s="5"/>
    </row>
    <row r="4" spans="1:45" x14ac:dyDescent="0.25">
      <c r="B4" s="5"/>
    </row>
    <row r="5" spans="1:45" x14ac:dyDescent="0.25">
      <c r="B5" s="5"/>
    </row>
    <row r="6" spans="1:45" x14ac:dyDescent="0.25">
      <c r="B6" s="5"/>
    </row>
    <row r="7" spans="1:45" x14ac:dyDescent="0.25">
      <c r="B7" s="5"/>
    </row>
    <row r="8" spans="1:45" x14ac:dyDescent="0.25">
      <c r="B8" s="5"/>
    </row>
    <row r="9" spans="1:45" x14ac:dyDescent="0.25">
      <c r="B9" s="5"/>
    </row>
    <row r="10" spans="1:45" x14ac:dyDescent="0.25">
      <c r="B10" s="5"/>
    </row>
    <row r="11" spans="1:45" x14ac:dyDescent="0.25">
      <c r="B11" s="5"/>
    </row>
    <row r="12" spans="1:45" x14ac:dyDescent="0.25">
      <c r="B12" s="5"/>
    </row>
    <row r="13" spans="1:45" x14ac:dyDescent="0.25">
      <c r="B13" s="5"/>
    </row>
    <row r="14" spans="1:45" x14ac:dyDescent="0.25">
      <c r="B14" s="5"/>
    </row>
    <row r="15" spans="1:45" x14ac:dyDescent="0.25">
      <c r="B15" s="5"/>
    </row>
    <row r="16" spans="1:45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  <row r="239" spans="2:2" x14ac:dyDescent="0.25">
      <c r="B239" s="5"/>
    </row>
    <row r="240" spans="2:2" x14ac:dyDescent="0.25">
      <c r="B240" s="5"/>
    </row>
    <row r="241" spans="2:2" x14ac:dyDescent="0.25">
      <c r="B241" s="5"/>
    </row>
    <row r="242" spans="2:2" x14ac:dyDescent="0.25">
      <c r="B242" s="5"/>
    </row>
    <row r="243" spans="2:2" x14ac:dyDescent="0.25">
      <c r="B243" s="5"/>
    </row>
    <row r="244" spans="2:2" x14ac:dyDescent="0.25">
      <c r="B244" s="5"/>
    </row>
    <row r="245" spans="2:2" x14ac:dyDescent="0.25">
      <c r="B245" s="5"/>
    </row>
    <row r="246" spans="2:2" x14ac:dyDescent="0.25">
      <c r="B246" s="5"/>
    </row>
    <row r="247" spans="2:2" x14ac:dyDescent="0.25">
      <c r="B247" s="5"/>
    </row>
    <row r="248" spans="2:2" x14ac:dyDescent="0.25">
      <c r="B248" s="5"/>
    </row>
    <row r="249" spans="2:2" x14ac:dyDescent="0.25">
      <c r="B249" s="5"/>
    </row>
    <row r="250" spans="2:2" x14ac:dyDescent="0.25">
      <c r="B250" s="5"/>
    </row>
    <row r="251" spans="2:2" x14ac:dyDescent="0.25">
      <c r="B251" s="5"/>
    </row>
    <row r="252" spans="2:2" x14ac:dyDescent="0.25">
      <c r="B252" s="5"/>
    </row>
    <row r="253" spans="2:2" x14ac:dyDescent="0.25">
      <c r="B253" s="5"/>
    </row>
    <row r="254" spans="2:2" x14ac:dyDescent="0.25">
      <c r="B254" s="5"/>
    </row>
    <row r="255" spans="2:2" x14ac:dyDescent="0.25">
      <c r="B255" s="5"/>
    </row>
    <row r="256" spans="2:2" x14ac:dyDescent="0.25">
      <c r="B256" s="5"/>
    </row>
    <row r="257" spans="2:2" x14ac:dyDescent="0.25">
      <c r="B257" s="5"/>
    </row>
    <row r="258" spans="2:2" x14ac:dyDescent="0.25">
      <c r="B258" s="5"/>
    </row>
    <row r="259" spans="2:2" x14ac:dyDescent="0.25">
      <c r="B259" s="5"/>
    </row>
    <row r="260" spans="2:2" x14ac:dyDescent="0.25">
      <c r="B260" s="5"/>
    </row>
    <row r="261" spans="2:2" x14ac:dyDescent="0.25">
      <c r="B261" s="5"/>
    </row>
    <row r="262" spans="2:2" x14ac:dyDescent="0.25">
      <c r="B262" s="5"/>
    </row>
    <row r="263" spans="2:2" x14ac:dyDescent="0.25">
      <c r="B263" s="5"/>
    </row>
    <row r="264" spans="2:2" x14ac:dyDescent="0.25">
      <c r="B264" s="5"/>
    </row>
    <row r="265" spans="2:2" x14ac:dyDescent="0.25">
      <c r="B265" s="5"/>
    </row>
    <row r="266" spans="2:2" x14ac:dyDescent="0.25">
      <c r="B266" s="5"/>
    </row>
    <row r="267" spans="2:2" x14ac:dyDescent="0.25">
      <c r="B267" s="5"/>
    </row>
    <row r="268" spans="2:2" x14ac:dyDescent="0.25">
      <c r="B268" s="5"/>
    </row>
    <row r="269" spans="2:2" x14ac:dyDescent="0.25">
      <c r="B269" s="5"/>
    </row>
    <row r="270" spans="2:2" x14ac:dyDescent="0.25">
      <c r="B270" s="5"/>
    </row>
    <row r="271" spans="2:2" x14ac:dyDescent="0.25">
      <c r="B271" s="5"/>
    </row>
    <row r="272" spans="2:2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S609"/>
  <sheetViews>
    <sheetView tabSelected="1" workbookViewId="0">
      <selection activeCell="E21" sqref="E21"/>
    </sheetView>
  </sheetViews>
  <sheetFormatPr defaultRowHeight="15" x14ac:dyDescent="0.25"/>
  <cols>
    <col min="1" max="1" width="40.28515625" bestFit="1" customWidth="1"/>
    <col min="2" max="2" width="9" bestFit="1" customWidth="1"/>
    <col min="3" max="3" width="10.42578125" bestFit="1" customWidth="1"/>
    <col min="4" max="4" width="9.7109375" bestFit="1" customWidth="1"/>
    <col min="5" max="5" width="9" bestFit="1" customWidth="1"/>
    <col min="6" max="6" width="2.85546875" bestFit="1" customWidth="1"/>
    <col min="7" max="7" width="8.42578125" bestFit="1" customWidth="1"/>
    <col min="8" max="8" width="4" style="2" bestFit="1" customWidth="1"/>
    <col min="9" max="9" width="9.7109375" bestFit="1" customWidth="1"/>
    <col min="10" max="10" width="6.140625" bestFit="1" customWidth="1"/>
    <col min="11" max="11" width="11.140625" bestFit="1" customWidth="1"/>
    <col min="12" max="12" width="6" bestFit="1" customWidth="1"/>
    <col min="13" max="13" width="11.7109375" bestFit="1" customWidth="1"/>
    <col min="14" max="14" width="8.85546875" bestFit="1" customWidth="1"/>
    <col min="15" max="15" width="36.28515625" bestFit="1" customWidth="1"/>
    <col min="16" max="16" width="38.140625" bestFit="1" customWidth="1"/>
    <col min="17" max="17" width="10" bestFit="1" customWidth="1"/>
    <col min="18" max="18" width="6.7109375" bestFit="1" customWidth="1"/>
    <col min="19" max="19" width="20.85546875" bestFit="1" customWidth="1"/>
    <col min="20" max="20" width="17.42578125" bestFit="1" customWidth="1"/>
    <col min="21" max="21" width="12.42578125" bestFit="1" customWidth="1"/>
    <col min="22" max="22" width="14" bestFit="1" customWidth="1"/>
    <col min="23" max="23" width="14.140625" bestFit="1" customWidth="1"/>
    <col min="24" max="24" width="10.85546875" bestFit="1" customWidth="1"/>
    <col min="25" max="25" width="18.7109375" bestFit="1" customWidth="1"/>
    <col min="26" max="26" width="14.7109375" bestFit="1" customWidth="1"/>
    <col min="27" max="27" width="15.5703125" bestFit="1" customWidth="1"/>
    <col min="28" max="28" width="25.28515625" bestFit="1" customWidth="1"/>
    <col min="29" max="29" width="25.5703125" bestFit="1" customWidth="1"/>
    <col min="30" max="30" width="32.7109375" bestFit="1" customWidth="1"/>
    <col min="31" max="31" width="18.7109375" bestFit="1" customWidth="1"/>
    <col min="32" max="32" width="18.85546875" bestFit="1" customWidth="1"/>
    <col min="33" max="33" width="24.5703125" bestFit="1" customWidth="1"/>
    <col min="34" max="34" width="26" bestFit="1" customWidth="1"/>
    <col min="35" max="35" width="20.28515625" bestFit="1" customWidth="1"/>
    <col min="36" max="36" width="21" bestFit="1" customWidth="1"/>
    <col min="37" max="37" width="21.140625" bestFit="1" customWidth="1"/>
    <col min="38" max="38" width="23.7109375" bestFit="1" customWidth="1"/>
    <col min="39" max="39" width="30.85546875" bestFit="1" customWidth="1"/>
    <col min="40" max="40" width="29.85546875" bestFit="1" customWidth="1"/>
    <col min="41" max="41" width="11.28515625" bestFit="1" customWidth="1"/>
    <col min="42" max="42" width="15.28515625" bestFit="1" customWidth="1"/>
    <col min="43" max="43" width="29.7109375" bestFit="1" customWidth="1"/>
    <col min="44" max="44" width="12.140625" bestFit="1" customWidth="1"/>
    <col min="45" max="45" width="14.5703125" bestFit="1" customWidth="1"/>
  </cols>
  <sheetData>
    <row r="1" spans="1:45" x14ac:dyDescent="0.25">
      <c r="A1" s="1" t="s">
        <v>4</v>
      </c>
      <c r="B1" s="1" t="s">
        <v>8</v>
      </c>
      <c r="C1" s="1" t="s">
        <v>9</v>
      </c>
      <c r="D1" s="1" t="s">
        <v>16</v>
      </c>
      <c r="E1" s="1" t="s">
        <v>12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5</v>
      </c>
      <c r="K1" s="1" t="s">
        <v>6</v>
      </c>
      <c r="L1" s="1" t="s">
        <v>7</v>
      </c>
      <c r="M1" s="1" t="s">
        <v>10</v>
      </c>
      <c r="N1" s="1" t="s">
        <v>11</v>
      </c>
      <c r="O1" s="3" t="s">
        <v>13</v>
      </c>
      <c r="P1" s="3" t="s">
        <v>14</v>
      </c>
      <c r="Q1" s="1" t="s">
        <v>15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4" t="s">
        <v>22</v>
      </c>
      <c r="X1" s="4" t="s">
        <v>31</v>
      </c>
      <c r="Y1" s="4" t="s">
        <v>32</v>
      </c>
      <c r="Z1" s="4" t="s">
        <v>23</v>
      </c>
      <c r="AA1" s="4" t="s">
        <v>33</v>
      </c>
      <c r="AB1" s="4" t="s">
        <v>24</v>
      </c>
      <c r="AC1" s="4" t="s">
        <v>25</v>
      </c>
      <c r="AD1" s="4" t="s">
        <v>26</v>
      </c>
      <c r="AE1" s="4" t="s">
        <v>34</v>
      </c>
      <c r="AF1" s="4" t="s">
        <v>35</v>
      </c>
      <c r="AG1" s="4" t="s">
        <v>36</v>
      </c>
      <c r="AH1" s="4" t="s">
        <v>37</v>
      </c>
      <c r="AI1" s="4" t="s">
        <v>38</v>
      </c>
      <c r="AJ1" s="4" t="s">
        <v>39</v>
      </c>
      <c r="AK1" s="4" t="s">
        <v>40</v>
      </c>
      <c r="AL1" s="4" t="s">
        <v>27</v>
      </c>
      <c r="AM1" s="4" t="s">
        <v>28</v>
      </c>
      <c r="AN1" s="4" t="s">
        <v>29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</row>
    <row r="2" spans="1:45" x14ac:dyDescent="0.25">
      <c r="A2" t="s">
        <v>97</v>
      </c>
      <c r="B2" s="5">
        <v>12312353</v>
      </c>
    </row>
    <row r="3" spans="1:45" x14ac:dyDescent="0.25">
      <c r="B3" s="5"/>
    </row>
    <row r="4" spans="1:45" x14ac:dyDescent="0.25">
      <c r="B4" s="5"/>
    </row>
    <row r="5" spans="1:45" x14ac:dyDescent="0.25">
      <c r="B5" s="5"/>
    </row>
    <row r="6" spans="1:45" x14ac:dyDescent="0.25">
      <c r="B6" s="5"/>
    </row>
    <row r="7" spans="1:45" x14ac:dyDescent="0.25">
      <c r="B7" s="5"/>
    </row>
    <row r="8" spans="1:45" x14ac:dyDescent="0.25">
      <c r="B8" s="5"/>
    </row>
    <row r="9" spans="1:45" x14ac:dyDescent="0.25">
      <c r="B9" s="5"/>
    </row>
    <row r="10" spans="1:45" x14ac:dyDescent="0.25">
      <c r="B10" s="5"/>
    </row>
    <row r="11" spans="1:45" x14ac:dyDescent="0.25">
      <c r="B11" s="5"/>
    </row>
    <row r="12" spans="1:45" x14ac:dyDescent="0.25">
      <c r="B12" s="5"/>
    </row>
    <row r="13" spans="1:45" x14ac:dyDescent="0.25">
      <c r="B13" s="5"/>
    </row>
    <row r="14" spans="1:45" x14ac:dyDescent="0.25">
      <c r="B14" s="5"/>
    </row>
    <row r="15" spans="1:45" x14ac:dyDescent="0.25">
      <c r="B15" s="5"/>
    </row>
    <row r="16" spans="1:45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  <row r="239" spans="2:2" x14ac:dyDescent="0.25">
      <c r="B239" s="5"/>
    </row>
    <row r="240" spans="2:2" x14ac:dyDescent="0.25">
      <c r="B240" s="5"/>
    </row>
    <row r="241" spans="2:2" x14ac:dyDescent="0.25">
      <c r="B241" s="5"/>
    </row>
    <row r="242" spans="2:2" x14ac:dyDescent="0.25">
      <c r="B242" s="5"/>
    </row>
    <row r="243" spans="2:2" x14ac:dyDescent="0.25">
      <c r="B243" s="5"/>
    </row>
    <row r="244" spans="2:2" x14ac:dyDescent="0.25">
      <c r="B244" s="5"/>
    </row>
    <row r="245" spans="2:2" x14ac:dyDescent="0.25">
      <c r="B245" s="5"/>
    </row>
    <row r="246" spans="2:2" x14ac:dyDescent="0.25">
      <c r="B246" s="5"/>
    </row>
    <row r="247" spans="2:2" x14ac:dyDescent="0.25">
      <c r="B247" s="5"/>
    </row>
    <row r="248" spans="2:2" x14ac:dyDescent="0.25">
      <c r="B248" s="5"/>
    </row>
    <row r="249" spans="2:2" x14ac:dyDescent="0.25">
      <c r="B249" s="5"/>
    </row>
    <row r="250" spans="2:2" x14ac:dyDescent="0.25">
      <c r="B250" s="5"/>
    </row>
    <row r="251" spans="2:2" x14ac:dyDescent="0.25">
      <c r="B251" s="5"/>
    </row>
    <row r="252" spans="2:2" x14ac:dyDescent="0.25">
      <c r="B252" s="5"/>
    </row>
    <row r="253" spans="2:2" x14ac:dyDescent="0.25">
      <c r="B253" s="5"/>
    </row>
    <row r="254" spans="2:2" x14ac:dyDescent="0.25">
      <c r="B254" s="5"/>
    </row>
    <row r="255" spans="2:2" x14ac:dyDescent="0.25">
      <c r="B255" s="5"/>
    </row>
    <row r="256" spans="2:2" x14ac:dyDescent="0.25">
      <c r="B256" s="5"/>
    </row>
    <row r="257" spans="2:2" x14ac:dyDescent="0.25">
      <c r="B257" s="5"/>
    </row>
    <row r="258" spans="2:2" x14ac:dyDescent="0.25">
      <c r="B258" s="5"/>
    </row>
    <row r="259" spans="2:2" x14ac:dyDescent="0.25">
      <c r="B259" s="5"/>
    </row>
    <row r="260" spans="2:2" x14ac:dyDescent="0.25">
      <c r="B260" s="5"/>
    </row>
    <row r="261" spans="2:2" x14ac:dyDescent="0.25">
      <c r="B261" s="5"/>
    </row>
    <row r="262" spans="2:2" x14ac:dyDescent="0.25">
      <c r="B262" s="5"/>
    </row>
    <row r="263" spans="2:2" x14ac:dyDescent="0.25">
      <c r="B263" s="5"/>
    </row>
    <row r="264" spans="2:2" x14ac:dyDescent="0.25">
      <c r="B264" s="5"/>
    </row>
    <row r="265" spans="2:2" x14ac:dyDescent="0.25">
      <c r="B265" s="5"/>
    </row>
    <row r="266" spans="2:2" x14ac:dyDescent="0.25">
      <c r="B266" s="5"/>
    </row>
    <row r="267" spans="2:2" x14ac:dyDescent="0.25">
      <c r="B267" s="5"/>
    </row>
    <row r="268" spans="2:2" x14ac:dyDescent="0.25">
      <c r="B268" s="5"/>
    </row>
    <row r="269" spans="2:2" x14ac:dyDescent="0.25">
      <c r="B269" s="5"/>
    </row>
    <row r="270" spans="2:2" x14ac:dyDescent="0.25">
      <c r="B270" s="5"/>
    </row>
    <row r="271" spans="2:2" x14ac:dyDescent="0.25">
      <c r="B271" s="5"/>
    </row>
    <row r="272" spans="2:2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PAGE</vt:lpstr>
      <vt:lpstr>SECOND PAGE</vt:lpstr>
      <vt:lpstr>THREE "PAGE"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[1054] Полікарбонат, теплиці, плівка теплична, ІЧ обігрів</dc:title>
  <dc:subject/>
  <dc:creator>Rozetka.Creator</dc:creator>
  <cp:keywords/>
  <dc:description/>
  <cp:lastModifiedBy>Freid</cp:lastModifiedBy>
  <dcterms:created xsi:type="dcterms:W3CDTF">2025-04-16T13:50:44Z</dcterms:created>
  <dcterms:modified xsi:type="dcterms:W3CDTF">2025-11-15T13:22:24Z</dcterms:modified>
  <cp:category/>
</cp:coreProperties>
</file>